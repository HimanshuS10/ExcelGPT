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Template" sheetId="1" r:id="rId4"/>
  </sheets>
</workbook>
</file>

<file path=xl/sharedStrings.xml><?xml version="1.0" encoding="utf-8"?>
<sst xmlns="http://schemas.openxmlformats.org/spreadsheetml/2006/main" uniqueCount="74">
  <si>
    <t>GDSC (Google Developer Student Club)</t>
  </si>
  <si>
    <t>Definitions &amp; Terms</t>
  </si>
  <si>
    <t>Club Budget</t>
  </si>
  <si>
    <t>From Sep.</t>
  </si>
  <si>
    <t>To Apr.</t>
  </si>
  <si>
    <r>
      <rPr>
        <b val="1"/>
        <sz val="11"/>
        <color indexed="8"/>
        <rFont val="Arial"/>
      </rPr>
      <t>Club Budget:</t>
    </r>
    <r>
      <rPr>
        <sz val="11"/>
        <color indexed="8"/>
        <rFont val="Arial"/>
      </rPr>
      <t xml:space="preserve">  Budget for entire club for the fiscal year, Sep 1, 2024 to April 30, 2025</t>
    </r>
  </si>
  <si>
    <t>2024 Fall Expenses</t>
  </si>
  <si>
    <r>
      <rPr>
        <b val="1"/>
        <sz val="11"/>
        <color indexed="8"/>
        <rFont val="Arial"/>
      </rPr>
      <t>Projected Expenses:</t>
    </r>
    <r>
      <rPr>
        <sz val="11"/>
        <color indexed="8"/>
        <rFont val="Arial"/>
      </rPr>
      <t xml:space="preserve">  Should include all forseable expenses during the year.</t>
    </r>
  </si>
  <si>
    <t>Info Session</t>
  </si>
  <si>
    <t>Line Item</t>
  </si>
  <si>
    <t>Description</t>
  </si>
  <si>
    <t>Estimated Expense</t>
  </si>
  <si>
    <t>Actual Expense</t>
  </si>
  <si>
    <r>
      <rPr>
        <b val="1"/>
        <sz val="11"/>
        <color indexed="8"/>
        <rFont val="Arial"/>
      </rPr>
      <t>Activity/Event:</t>
    </r>
    <r>
      <rPr>
        <sz val="11"/>
        <color indexed="8"/>
        <rFont val="Arial"/>
      </rPr>
      <t xml:space="preserve">  List all activities or events. (Please add rows for additional activities or events as needed)</t>
    </r>
    <r>
      <rPr>
        <b val="1"/>
        <sz val="11"/>
        <color indexed="8"/>
        <rFont val="Arial"/>
      </rPr>
      <t>.</t>
    </r>
  </si>
  <si>
    <t>Oct 7th</t>
  </si>
  <si>
    <t>Peter Clark Hall</t>
  </si>
  <si>
    <t>Room</t>
  </si>
  <si>
    <r>
      <rPr>
        <b val="1"/>
        <sz val="11"/>
        <color indexed="8"/>
        <rFont val="Arial"/>
      </rPr>
      <t>Start Date:</t>
    </r>
    <r>
      <rPr>
        <sz val="11"/>
        <color indexed="8"/>
        <rFont val="Arial"/>
      </rPr>
      <t xml:space="preserve">  Sep 1st</t>
    </r>
  </si>
  <si>
    <t>Table and Chairs</t>
  </si>
  <si>
    <t>Standard setup of tables and chairs</t>
  </si>
  <si>
    <r>
      <rPr>
        <b val="1"/>
        <sz val="11"/>
        <color indexed="8"/>
        <rFont val="Arial"/>
      </rPr>
      <t>End Date:</t>
    </r>
    <r>
      <rPr>
        <sz val="11"/>
        <color indexed="8"/>
        <rFont val="Arial"/>
      </rPr>
      <t xml:space="preserve"> April 30th (currently planned until Oct. 30th)</t>
    </r>
  </si>
  <si>
    <t>Microphone</t>
  </si>
  <si>
    <t>wireless and lapel microphone service</t>
  </si>
  <si>
    <r>
      <rPr>
        <b val="1"/>
        <sz val="11"/>
        <color indexed="8"/>
        <rFont val="Arial"/>
      </rPr>
      <t>Location:</t>
    </r>
    <r>
      <rPr>
        <sz val="11"/>
        <color indexed="8"/>
        <rFont val="Arial"/>
      </rPr>
      <t xml:space="preserve"> All will be in Peter Clark Hall (UC Basement)</t>
    </r>
  </si>
  <si>
    <t xml:space="preserve">Activity / Event Expense Subtotal </t>
  </si>
  <si>
    <r>
      <rPr>
        <b val="1"/>
        <sz val="11"/>
        <color indexed="8"/>
        <rFont val="Arial"/>
      </rPr>
      <t xml:space="preserve">Actual: </t>
    </r>
    <r>
      <rPr>
        <sz val="11"/>
        <color indexed="8"/>
        <rFont val="Arial"/>
      </rPr>
      <t>How much did this expense line item actually cost?</t>
    </r>
  </si>
  <si>
    <r>
      <rPr>
        <b val="1"/>
        <sz val="11"/>
        <color indexed="8"/>
        <rFont val="Arial"/>
      </rPr>
      <t xml:space="preserve">Activity / Event Expense Subtotal: </t>
    </r>
    <r>
      <rPr>
        <sz val="11"/>
        <color indexed="8"/>
        <rFont val="Arial"/>
      </rPr>
      <t xml:space="preserve">Should equal the sum of all of the line items for the activity/event.  </t>
    </r>
  </si>
  <si>
    <t xml:space="preserve">Web Building </t>
  </si>
  <si>
    <t>Oct 21st</t>
  </si>
  <si>
    <r>
      <rPr>
        <sz val="12"/>
        <color indexed="8"/>
        <rFont val="Times Roman"/>
      </rPr>
      <t xml:space="preserve">Large multipurpose event facility featuring multiple HD projectors, integrated house sound system, enhanced lighting features Capacity: 646 - 900, $85.5 hourly </t>
    </r>
    <r>
      <rPr>
        <u val="single"/>
        <sz val="12"/>
        <color indexed="13"/>
        <rFont val="Times Roman"/>
      </rPr>
      <t>https://ucservices.uoguelph.ca/system/files/UC%20Facility%20Services%20Guide%20-%202024.pdf</t>
    </r>
  </si>
  <si>
    <t>Activity Descriptions:</t>
  </si>
  <si>
    <t>Standard setup of tables and chairs in group seating to suit the room design. Excludes PCH Centre Section.</t>
  </si>
  <si>
    <r>
      <rPr>
        <b val="1"/>
        <sz val="11"/>
        <color indexed="8"/>
        <rFont val="Arial"/>
      </rPr>
      <t xml:space="preserve">Info Session: </t>
    </r>
    <r>
      <rPr>
        <sz val="11"/>
        <color indexed="8"/>
        <rFont val="Arial"/>
      </rPr>
      <t>A breakdown of what the GDSC is and how to join, Team building exercises will be added to each round table to help students get to know their peers.</t>
    </r>
  </si>
  <si>
    <t>Premium quality wireless and lapel microphone service with setup support. Stand alone service includes PA mixer and up to two powered speakers.</t>
  </si>
  <si>
    <r>
      <rPr>
        <b val="1"/>
        <sz val="11"/>
        <color indexed="8"/>
        <rFont val="Arial"/>
      </rPr>
      <t>Web Building:</t>
    </r>
    <r>
      <rPr>
        <sz val="11"/>
        <color indexed="8"/>
        <rFont val="Arial"/>
      </rPr>
      <t xml:space="preserve"> Helping students build their first website and set up their Github. Showing students how to add and style their page to do simple UI. </t>
    </r>
  </si>
  <si>
    <r>
      <rPr>
        <b val="1"/>
        <sz val="11"/>
        <color indexed="8"/>
        <rFont val="Arial"/>
      </rPr>
      <t xml:space="preserve">Learning Responsive Designs (React): </t>
    </r>
    <r>
      <rPr>
        <sz val="11"/>
        <color indexed="8"/>
        <rFont val="Arial"/>
      </rPr>
      <t>Building off a preexisting website, we’ll turn the site into a React site, this allows the site to have a frontend and a backend. Allowing a website to be dynamic.</t>
    </r>
  </si>
  <si>
    <t>Learning Responsive Designs (React)</t>
  </si>
  <si>
    <t>Nov 5th</t>
  </si>
  <si>
    <t>Miscelaneous Expenses</t>
  </si>
  <si>
    <r>
      <rPr>
        <b val="1"/>
        <sz val="11"/>
        <color indexed="8"/>
        <rFont val="Arial"/>
      </rPr>
      <t>Miscelaneous Expenses:</t>
    </r>
    <r>
      <rPr>
        <sz val="11"/>
        <color indexed="8"/>
        <rFont val="Arial"/>
      </rPr>
      <t xml:space="preserve">  Any expense during the year, but does not go towards a specific activity / event. </t>
    </r>
  </si>
  <si>
    <t>Stickers</t>
  </si>
  <si>
    <t>$1 per sticker with tax for 200 stickers from StickerMule</t>
  </si>
  <si>
    <t>Date</t>
  </si>
  <si>
    <t>ex.Misc Expense 2</t>
  </si>
  <si>
    <t>ex.Misc Expense 3</t>
  </si>
  <si>
    <t>ex.Misc Expense 4</t>
  </si>
  <si>
    <t xml:space="preserve">Miscelaneous Expense Subtotal </t>
  </si>
  <si>
    <r>
      <rPr>
        <b val="1"/>
        <sz val="11"/>
        <color indexed="8"/>
        <rFont val="Arial"/>
      </rPr>
      <t>Miscelaneous Expense Subtotal:</t>
    </r>
    <r>
      <rPr>
        <sz val="11"/>
        <color indexed="8"/>
        <rFont val="Arial"/>
      </rPr>
      <t xml:space="preserve"> Should equal the sum of all of the miscellaneous expenses</t>
    </r>
    <r>
      <rPr>
        <b val="1"/>
        <sz val="11"/>
        <color indexed="8"/>
        <rFont val="Arial"/>
      </rPr>
      <t>.</t>
    </r>
  </si>
  <si>
    <t>Total Expenses (Estimated / Actual)</t>
  </si>
  <si>
    <r>
      <rPr>
        <b val="1"/>
        <sz val="11"/>
        <color indexed="8"/>
        <rFont val="Arial"/>
      </rPr>
      <t xml:space="preserve">Total Projected Expenses: </t>
    </r>
    <r>
      <rPr>
        <sz val="11"/>
        <color indexed="8"/>
        <rFont val="Arial"/>
      </rPr>
      <t>Should equal the sum of the subtotals of each event and miscelaneous expense subtotal.  (Activity 1 subtotal + Activity 2 subtotal + Misc. Expense Subtotal = Total Projected Expense)</t>
    </r>
    <r>
      <rPr>
        <b val="1"/>
        <sz val="11"/>
        <color indexed="8"/>
        <rFont val="Arial"/>
      </rPr>
      <t>.</t>
    </r>
  </si>
  <si>
    <t>2024 Fall Revenue</t>
  </si>
  <si>
    <r>
      <rPr>
        <b val="1"/>
        <sz val="11"/>
        <color indexed="8"/>
        <rFont val="Arial"/>
      </rPr>
      <t>Revenue:</t>
    </r>
    <r>
      <rPr>
        <sz val="11"/>
        <color indexed="8"/>
        <rFont val="Arial"/>
      </rPr>
      <t xml:space="preserve"> Any revenue/income/deposit the club expects to receive during the 2024-2025 year. </t>
    </r>
  </si>
  <si>
    <t>Source</t>
  </si>
  <si>
    <t>Estimated Revenue</t>
  </si>
  <si>
    <t>Actual Revenue</t>
  </si>
  <si>
    <r>
      <rPr>
        <b val="1"/>
        <sz val="11"/>
        <color indexed="8"/>
        <rFont val="Arial"/>
      </rPr>
      <t xml:space="preserve">Revenue Source: </t>
    </r>
    <r>
      <rPr>
        <sz val="11"/>
        <color indexed="8"/>
        <rFont val="Arial"/>
      </rPr>
      <t>Where is the revenue coming from?</t>
    </r>
  </si>
  <si>
    <t>ex. Student Fees</t>
  </si>
  <si>
    <t>ex.Dean's Office</t>
  </si>
  <si>
    <r>
      <rPr>
        <b val="1"/>
        <sz val="11"/>
        <color indexed="8"/>
        <rFont val="Arial"/>
      </rPr>
      <t xml:space="preserve">Details: </t>
    </r>
    <r>
      <rPr>
        <sz val="11"/>
        <color indexed="8"/>
        <rFont val="Arial"/>
      </rPr>
      <t>Be specific on what this amount means. (How many donuts do you expect to sell? How many shirts?) Show your math.</t>
    </r>
  </si>
  <si>
    <t>ex.Registration Fee Event 1</t>
  </si>
  <si>
    <t>ex.Registration Fee Event 2</t>
  </si>
  <si>
    <t>ex.Income Source Other</t>
  </si>
  <si>
    <t>Total Projected Revenue</t>
  </si>
  <si>
    <r>
      <rPr>
        <b val="1"/>
        <sz val="11"/>
        <color indexed="8"/>
        <rFont val="Arial"/>
      </rPr>
      <t xml:space="preserve">Total Projected Revenue: </t>
    </r>
    <r>
      <rPr>
        <sz val="11"/>
        <color indexed="8"/>
        <rFont val="Arial"/>
      </rPr>
      <t xml:space="preserve">Sum of income / deposits from all sources. </t>
    </r>
  </si>
  <si>
    <t>Estimated</t>
  </si>
  <si>
    <t xml:space="preserve">Actual </t>
  </si>
  <si>
    <t>2024 Fall Expenses minus Revenue</t>
  </si>
  <si>
    <t>2024 Fall Actual Revenue Total</t>
  </si>
  <si>
    <r>
      <rPr>
        <b val="1"/>
        <sz val="11"/>
        <color indexed="8"/>
        <rFont val="Arial"/>
      </rPr>
      <t xml:space="preserve">2024 Fall Actual Revenue Total: </t>
    </r>
    <r>
      <rPr>
        <sz val="11"/>
        <color indexed="8"/>
        <rFont val="Arial"/>
      </rPr>
      <t>Previous fiscal year's revenues / deposits</t>
    </r>
  </si>
  <si>
    <t>2024 Fall Actual Expense Total</t>
  </si>
  <si>
    <r>
      <rPr>
        <b val="1"/>
        <sz val="11"/>
        <color indexed="8"/>
        <rFont val="Arial"/>
      </rPr>
      <t xml:space="preserve">2024 Fall Actual Expense Total: </t>
    </r>
    <r>
      <rPr>
        <sz val="11"/>
        <color indexed="8"/>
        <rFont val="Arial"/>
      </rPr>
      <t>Previous fiscal year's expenses</t>
    </r>
  </si>
  <si>
    <t>Carried over from 2018-2010 Fiscal Year</t>
  </si>
  <si>
    <t>2024 Fall Total Operating Budget</t>
  </si>
  <si>
    <r>
      <rPr>
        <b val="1"/>
        <sz val="11"/>
        <color indexed="8"/>
        <rFont val="Arial"/>
      </rPr>
      <t>2024 Fall Total Operating Budget:</t>
    </r>
    <r>
      <rPr>
        <sz val="11"/>
        <color indexed="8"/>
        <rFont val="Arial"/>
      </rPr>
      <t xml:space="preserve"> Sum of carried over from 2023-2024 fiscal year plus 2024-2025 estimated revenue</t>
    </r>
  </si>
</sst>
</file>

<file path=xl/styles.xml><?xml version="1.0" encoding="utf-8"?>
<styleSheet xmlns="http://schemas.openxmlformats.org/spreadsheetml/2006/main">
  <numFmts count="2">
    <numFmt numFmtId="0" formatCode="General"/>
    <numFmt numFmtId="59" formatCode="&quot;$&quot;#,##0.00"/>
  </numFmts>
  <fonts count="11">
    <font>
      <sz val="12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20"/>
      <color indexed="8"/>
      <name val="Arial"/>
    </font>
    <font>
      <b val="1"/>
      <sz val="11"/>
      <color indexed="9"/>
      <name val="Arial"/>
    </font>
    <font>
      <b val="1"/>
      <sz val="11"/>
      <color indexed="8"/>
      <name val="Arial"/>
    </font>
    <font>
      <sz val="11"/>
      <color indexed="8"/>
      <name val="Arial"/>
    </font>
    <font>
      <b val="1"/>
      <sz val="15"/>
      <color indexed="8"/>
      <name val="Arial"/>
    </font>
    <font>
      <sz val="15"/>
      <color indexed="8"/>
      <name val="Arial"/>
    </font>
    <font>
      <sz val="12"/>
      <color indexed="8"/>
      <name val="Times Roman"/>
    </font>
    <font>
      <u val="single"/>
      <sz val="12"/>
      <color indexed="13"/>
      <name val="Times Roman"/>
    </font>
  </fonts>
  <fills count="10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8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7"/>
        <bgColor auto="1"/>
      </patternFill>
    </fill>
  </fills>
  <borders count="40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/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/>
      <right/>
      <top style="medium">
        <color indexed="8"/>
      </top>
      <bottom style="thin">
        <color indexed="8"/>
      </bottom>
      <diagonal/>
    </border>
    <border>
      <left/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10"/>
      </left>
      <right/>
      <top style="thin">
        <color indexed="8"/>
      </top>
      <bottom/>
      <diagonal/>
    </border>
    <border>
      <left/>
      <right style="medium">
        <color indexed="8"/>
      </right>
      <top style="thin">
        <color indexed="8"/>
      </top>
      <bottom/>
      <diagonal/>
    </border>
    <border>
      <left style="medium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10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/>
      <bottom/>
      <diagonal/>
    </border>
    <border>
      <left/>
      <right/>
      <top style="medium">
        <color indexed="8"/>
      </top>
      <bottom/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 style="thin">
        <color indexed="8"/>
      </right>
      <top/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/>
      <right/>
      <top style="medium">
        <color indexed="8"/>
      </top>
      <bottom style="thin">
        <color indexed="10"/>
      </bottom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/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71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vertical="bottom"/>
    </xf>
    <xf numFmtId="0" fontId="3" fillId="2" borderId="2" applyNumberFormat="0" applyFont="1" applyFill="1" applyBorder="1" applyAlignment="1" applyProtection="0">
      <alignment vertical="bottom"/>
    </xf>
    <xf numFmtId="0" fontId="0" fillId="2" borderId="2" applyNumberFormat="0" applyFont="1" applyFill="1" applyBorder="1" applyAlignment="1" applyProtection="0">
      <alignment vertical="bottom"/>
    </xf>
    <xf numFmtId="49" fontId="4" fillId="3" borderId="3" applyNumberFormat="1" applyFont="1" applyFill="1" applyBorder="1" applyAlignment="1" applyProtection="0">
      <alignment vertical="bottom"/>
    </xf>
    <xf numFmtId="49" fontId="5" fillId="2" borderId="4" applyNumberFormat="1" applyFont="1" applyFill="1" applyBorder="1" applyAlignment="1" applyProtection="0">
      <alignment vertical="bottom"/>
    </xf>
    <xf numFmtId="49" fontId="5" fillId="2" borderId="5" applyNumberFormat="1" applyFont="1" applyFill="1" applyBorder="1" applyAlignment="1" applyProtection="0">
      <alignment vertical="bottom"/>
    </xf>
    <xf numFmtId="0" fontId="0" fillId="2" borderId="5" applyNumberFormat="0" applyFont="1" applyFill="1" applyBorder="1" applyAlignment="1" applyProtection="0">
      <alignment vertical="bottom"/>
    </xf>
    <xf numFmtId="49" fontId="5" fillId="2" borderId="6" applyNumberFormat="1" applyFont="1" applyFill="1" applyBorder="1" applyAlignment="1" applyProtection="0">
      <alignment vertical="bottom"/>
    </xf>
    <xf numFmtId="0" fontId="0" fillId="2" borderId="7" applyNumberFormat="0" applyFont="1" applyFill="1" applyBorder="1" applyAlignment="1" applyProtection="0">
      <alignment vertical="bottom"/>
    </xf>
    <xf numFmtId="0" fontId="0" fillId="2" borderId="8" applyNumberFormat="0" applyFont="1" applyFill="1" applyBorder="1" applyAlignment="1" applyProtection="0">
      <alignment vertical="bottom"/>
    </xf>
    <xf numFmtId="0" fontId="0" fillId="2" borderId="9" applyNumberFormat="0" applyFont="1" applyFill="1" applyBorder="1" applyAlignment="1" applyProtection="0">
      <alignment vertical="bottom"/>
    </xf>
    <xf numFmtId="49" fontId="7" fillId="4" borderId="10" applyNumberFormat="1" applyFont="1" applyFill="1" applyBorder="1" applyAlignment="1" applyProtection="0">
      <alignment vertical="bottom"/>
    </xf>
    <xf numFmtId="0" fontId="8" fillId="4" borderId="11" applyNumberFormat="0" applyFont="1" applyFill="1" applyBorder="1" applyAlignment="1" applyProtection="0">
      <alignment vertical="bottom"/>
    </xf>
    <xf numFmtId="0" fontId="8" fillId="4" borderId="12" applyNumberFormat="0" applyFont="1" applyFill="1" applyBorder="1" applyAlignment="1" applyProtection="0">
      <alignment vertical="bottom"/>
    </xf>
    <xf numFmtId="0" fontId="0" fillId="2" borderId="13" applyNumberFormat="0" applyFont="1" applyFill="1" applyBorder="1" applyAlignment="1" applyProtection="0">
      <alignment vertical="bottom"/>
    </xf>
    <xf numFmtId="49" fontId="5" fillId="2" borderId="9" applyNumberFormat="1" applyFont="1" applyFill="1" applyBorder="1" applyAlignment="1" applyProtection="0">
      <alignment vertical="bottom"/>
    </xf>
    <xf numFmtId="49" fontId="5" fillId="5" borderId="14" applyNumberFormat="1" applyFont="1" applyFill="1" applyBorder="1" applyAlignment="1" applyProtection="0">
      <alignment vertical="bottom"/>
    </xf>
    <xf numFmtId="0" fontId="0" fillId="2" borderId="15" applyNumberFormat="0" applyFont="1" applyFill="1" applyBorder="1" applyAlignment="1" applyProtection="0">
      <alignment vertical="bottom"/>
    </xf>
    <xf numFmtId="49" fontId="6" fillId="2" borderId="14" applyNumberFormat="1" applyFont="1" applyFill="1" applyBorder="1" applyAlignment="1" applyProtection="0">
      <alignment horizontal="right" vertical="bottom"/>
    </xf>
    <xf numFmtId="49" fontId="0" fillId="2" borderId="14" applyNumberFormat="1" applyFont="1" applyFill="1" applyBorder="1" applyAlignment="1" applyProtection="0">
      <alignment vertical="bottom"/>
    </xf>
    <xf numFmtId="49" fontId="9" fillId="2" borderId="14" applyNumberFormat="1" applyFont="1" applyFill="1" applyBorder="1" applyAlignment="1" applyProtection="0">
      <alignment vertical="bottom" readingOrder="1"/>
    </xf>
    <xf numFmtId="59" fontId="6" fillId="2" borderId="14" applyNumberFormat="1" applyFont="1" applyFill="1" applyBorder="1" applyAlignment="1" applyProtection="0">
      <alignment horizontal="right" vertical="bottom"/>
    </xf>
    <xf numFmtId="49" fontId="9" fillId="2" borderId="16" applyNumberFormat="1" applyFont="1" applyFill="1" applyBorder="1" applyAlignment="1" applyProtection="0">
      <alignment vertical="bottom" readingOrder="1"/>
    </xf>
    <xf numFmtId="59" fontId="6" fillId="2" borderId="16" applyNumberFormat="1" applyFont="1" applyFill="1" applyBorder="1" applyAlignment="1" applyProtection="0">
      <alignment horizontal="right" vertical="bottom"/>
    </xf>
    <xf numFmtId="0" fontId="0" fillId="2" borderId="17" applyNumberFormat="0" applyFont="1" applyFill="1" applyBorder="1" applyAlignment="1" applyProtection="0">
      <alignment vertical="bottom"/>
    </xf>
    <xf numFmtId="0" fontId="5" fillId="2" borderId="18" applyNumberFormat="0" applyFont="1" applyFill="1" applyBorder="1" applyAlignment="1" applyProtection="0">
      <alignment vertical="bottom"/>
    </xf>
    <xf numFmtId="49" fontId="5" fillId="2" borderId="19" applyNumberFormat="1" applyFont="1" applyFill="1" applyBorder="1" applyAlignment="1" applyProtection="0">
      <alignment horizontal="right" vertical="bottom"/>
    </xf>
    <xf numFmtId="59" fontId="5" fillId="2" borderId="20" applyNumberFormat="1" applyFont="1" applyFill="1" applyBorder="1" applyAlignment="1" applyProtection="0">
      <alignment horizontal="right" vertical="bottom"/>
    </xf>
    <xf numFmtId="59" fontId="5" fillId="2" borderId="21" applyNumberFormat="1" applyFont="1" applyFill="1" applyBorder="1" applyAlignment="1" applyProtection="0">
      <alignment horizontal="right" vertical="bottom"/>
    </xf>
    <xf numFmtId="0" fontId="0" fillId="2" borderId="22" applyNumberFormat="0" applyFont="1" applyFill="1" applyBorder="1" applyAlignment="1" applyProtection="0">
      <alignment vertical="bottom"/>
    </xf>
    <xf numFmtId="0" fontId="0" fillId="2" borderId="23" applyNumberFormat="0" applyFont="1" applyFill="1" applyBorder="1" applyAlignment="1" applyProtection="0">
      <alignment vertical="bottom"/>
    </xf>
    <xf numFmtId="0" fontId="0" fillId="2" borderId="11" applyNumberFormat="0" applyFont="1" applyFill="1" applyBorder="1" applyAlignment="1" applyProtection="0">
      <alignment vertical="bottom"/>
    </xf>
    <xf numFmtId="49" fontId="0" fillId="2" borderId="9" applyNumberFormat="1" applyFont="1" applyFill="1" applyBorder="1" applyAlignment="1" applyProtection="0">
      <alignment vertical="bottom"/>
    </xf>
    <xf numFmtId="49" fontId="5" fillId="2" borderId="24" applyNumberFormat="1" applyFont="1" applyFill="1" applyBorder="1" applyAlignment="1" applyProtection="0">
      <alignment horizontal="right" vertical="bottom"/>
    </xf>
    <xf numFmtId="59" fontId="5" fillId="2" borderId="16" applyNumberFormat="1" applyFont="1" applyFill="1" applyBorder="1" applyAlignment="1" applyProtection="0">
      <alignment horizontal="right" vertical="bottom"/>
    </xf>
    <xf numFmtId="0" fontId="0" fillId="2" borderId="14" applyNumberFormat="0" applyFont="1" applyFill="1" applyBorder="1" applyAlignment="1" applyProtection="0">
      <alignment vertical="bottom"/>
    </xf>
    <xf numFmtId="0" fontId="0" fillId="2" borderId="16" applyNumberFormat="0" applyFont="1" applyFill="1" applyBorder="1" applyAlignment="1" applyProtection="0">
      <alignment vertical="bottom"/>
    </xf>
    <xf numFmtId="0" fontId="0" fillId="2" borderId="4" applyNumberFormat="0" applyFont="1" applyFill="1" applyBorder="1" applyAlignment="1" applyProtection="0">
      <alignment vertical="bottom"/>
    </xf>
    <xf numFmtId="0" fontId="0" fillId="2" borderId="25" applyNumberFormat="0" applyFont="1" applyFill="1" applyBorder="1" applyAlignment="1" applyProtection="0">
      <alignment vertical="bottom"/>
    </xf>
    <xf numFmtId="0" fontId="0" fillId="2" borderId="26" applyNumberFormat="0" applyFont="1" applyFill="1" applyBorder="1" applyAlignment="1" applyProtection="0">
      <alignment vertical="bottom"/>
    </xf>
    <xf numFmtId="49" fontId="5" fillId="4" borderId="19" applyNumberFormat="1" applyFont="1" applyFill="1" applyBorder="1" applyAlignment="1" applyProtection="0">
      <alignment horizontal="right" vertical="bottom"/>
    </xf>
    <xf numFmtId="59" fontId="5" fillId="4" borderId="20" applyNumberFormat="1" applyFont="1" applyFill="1" applyBorder="1" applyAlignment="1" applyProtection="0">
      <alignment horizontal="right" vertical="bottom"/>
    </xf>
    <xf numFmtId="59" fontId="5" fillId="4" borderId="21" applyNumberFormat="1" applyFont="1" applyFill="1" applyBorder="1" applyAlignment="1" applyProtection="0">
      <alignment horizontal="right" vertical="bottom"/>
    </xf>
    <xf numFmtId="0" fontId="0" fillId="2" borderId="27" applyNumberFormat="0" applyFont="1" applyFill="1" applyBorder="1" applyAlignment="1" applyProtection="0">
      <alignment vertical="bottom"/>
    </xf>
    <xf numFmtId="49" fontId="7" fillId="6" borderId="28" applyNumberFormat="1" applyFont="1" applyFill="1" applyBorder="1" applyAlignment="1" applyProtection="0">
      <alignment vertical="bottom"/>
    </xf>
    <xf numFmtId="0" fontId="0" fillId="6" borderId="25" applyNumberFormat="0" applyFont="1" applyFill="1" applyBorder="1" applyAlignment="1" applyProtection="0">
      <alignment vertical="bottom"/>
    </xf>
    <xf numFmtId="0" fontId="0" fillId="6" borderId="29" applyNumberFormat="0" applyFont="1" applyFill="1" applyBorder="1" applyAlignment="1" applyProtection="0">
      <alignment vertical="bottom"/>
    </xf>
    <xf numFmtId="0" fontId="5" fillId="7" borderId="30" applyNumberFormat="0" applyFont="1" applyFill="1" applyBorder="1" applyAlignment="1" applyProtection="0">
      <alignment vertical="bottom"/>
    </xf>
    <xf numFmtId="49" fontId="5" fillId="7" borderId="30" applyNumberFormat="1" applyFont="1" applyFill="1" applyBorder="1" applyAlignment="1" applyProtection="0">
      <alignment vertical="bottom"/>
    </xf>
    <xf numFmtId="0" fontId="5" fillId="2" borderId="9" applyNumberFormat="0" applyFont="1" applyFill="1" applyBorder="1" applyAlignment="1" applyProtection="0">
      <alignment vertical="bottom"/>
    </xf>
    <xf numFmtId="49" fontId="0" fillId="2" borderId="16" applyNumberFormat="1" applyFont="1" applyFill="1" applyBorder="1" applyAlignment="1" applyProtection="0">
      <alignment vertical="bottom"/>
    </xf>
    <xf numFmtId="49" fontId="5" fillId="8" borderId="19" applyNumberFormat="1" applyFont="1" applyFill="1" applyBorder="1" applyAlignment="1" applyProtection="0">
      <alignment vertical="bottom"/>
    </xf>
    <xf numFmtId="59" fontId="5" fillId="8" borderId="20" applyNumberFormat="1" applyFont="1" applyFill="1" applyBorder="1" applyAlignment="1" applyProtection="0">
      <alignment horizontal="right" vertical="bottom"/>
    </xf>
    <xf numFmtId="59" fontId="5" fillId="8" borderId="21" applyNumberFormat="1" applyFont="1" applyFill="1" applyBorder="1" applyAlignment="1" applyProtection="0">
      <alignment horizontal="right" vertical="bottom"/>
    </xf>
    <xf numFmtId="0" fontId="0" fillId="2" borderId="31" applyNumberFormat="0" applyFont="1" applyFill="1" applyBorder="1" applyAlignment="1" applyProtection="0">
      <alignment vertical="bottom"/>
    </xf>
    <xf numFmtId="49" fontId="5" fillId="2" borderId="16" applyNumberFormat="1" applyFont="1" applyFill="1" applyBorder="1" applyAlignment="1" applyProtection="0">
      <alignment vertical="bottom"/>
    </xf>
    <xf numFmtId="49" fontId="5" fillId="2" borderId="19" applyNumberFormat="1" applyFont="1" applyFill="1" applyBorder="1" applyAlignment="1" applyProtection="0">
      <alignment vertical="bottom"/>
    </xf>
    <xf numFmtId="49" fontId="5" fillId="2" borderId="32" applyNumberFormat="1" applyFont="1" applyFill="1" applyBorder="1" applyAlignment="1" applyProtection="0">
      <alignment vertical="bottom"/>
    </xf>
    <xf numFmtId="59" fontId="5" fillId="2" borderId="33" applyNumberFormat="1" applyFont="1" applyFill="1" applyBorder="1" applyAlignment="1" applyProtection="0">
      <alignment horizontal="right" vertical="bottom"/>
    </xf>
    <xf numFmtId="49" fontId="5" fillId="2" borderId="34" applyNumberFormat="1" applyFont="1" applyFill="1" applyBorder="1" applyAlignment="1" applyProtection="0">
      <alignment vertical="bottom"/>
    </xf>
    <xf numFmtId="59" fontId="5" fillId="2" borderId="35" applyNumberFormat="1" applyFont="1" applyFill="1" applyBorder="1" applyAlignment="1" applyProtection="0">
      <alignment horizontal="right" vertical="bottom"/>
    </xf>
    <xf numFmtId="49" fontId="5" fillId="2" borderId="24" applyNumberFormat="1" applyFont="1" applyFill="1" applyBorder="1" applyAlignment="1" applyProtection="0">
      <alignment vertical="bottom"/>
    </xf>
    <xf numFmtId="59" fontId="5" fillId="2" borderId="36" applyNumberFormat="1" applyFont="1" applyFill="1" applyBorder="1" applyAlignment="1" applyProtection="0">
      <alignment vertical="bottom"/>
    </xf>
    <xf numFmtId="49" fontId="7" fillId="9" borderId="19" applyNumberFormat="1" applyFont="1" applyFill="1" applyBorder="1" applyAlignment="1" applyProtection="0">
      <alignment vertical="bottom"/>
    </xf>
    <xf numFmtId="59" fontId="8" fillId="9" borderId="21" applyNumberFormat="1" applyFont="1" applyFill="1" applyBorder="1" applyAlignment="1" applyProtection="0">
      <alignment vertical="bottom"/>
    </xf>
    <xf numFmtId="0" fontId="5" fillId="2" borderId="4" applyNumberFormat="0" applyFont="1" applyFill="1" applyBorder="1" applyAlignment="1" applyProtection="0">
      <alignment vertical="bottom"/>
    </xf>
    <xf numFmtId="0" fontId="0" fillId="2" borderId="37" applyNumberFormat="0" applyFont="1" applyFill="1" applyBorder="1" applyAlignment="1" applyProtection="0">
      <alignment vertical="bottom"/>
    </xf>
    <xf numFmtId="0" fontId="0" fillId="2" borderId="38" applyNumberFormat="0" applyFont="1" applyFill="1" applyBorder="1" applyAlignment="1" applyProtection="0">
      <alignment vertical="bottom"/>
    </xf>
    <xf numFmtId="0" fontId="0" fillId="2" borderId="39" applyNumberFormat="0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f4b083"/>
      <rgbColor rgb="fffbe4d5"/>
      <rgbColor rgb="ff0563c1"/>
      <rgbColor rgb="ff8eaadb"/>
      <rgbColor rgb="ffd9e2f3"/>
      <rgbColor rgb="ffb4c6e7"/>
      <rgbColor rgb="ffffd96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ucservices.uoguelph.ca/system/files/UC%20Facility%20Services%20Guide%20-%202024.pdf" TargetMode="External"/><Relationship Id="rId2" Type="http://schemas.openxmlformats.org/officeDocument/2006/relationships/hyperlink" Target="https://ucservices.uoguelph.ca/system/files/UC%20Facility%20Services%20Guide%20-%202024.pdf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1:G67"/>
  <sheetViews>
    <sheetView workbookViewId="0" showGridLines="0" defaultGridColor="1"/>
  </sheetViews>
  <sheetFormatPr defaultColWidth="7.83333" defaultRowHeight="14.25" customHeight="1" outlineLevelRow="0" outlineLevelCol="0"/>
  <cols>
    <col min="1" max="1" width="24.8516" style="1" customWidth="1"/>
    <col min="2" max="2" width="21.3516" style="1" customWidth="1"/>
    <col min="3" max="3" width="42.5" style="1" customWidth="1"/>
    <col min="4" max="4" width="20.1719" style="1" customWidth="1"/>
    <col min="5" max="5" width="23.8516" style="1" customWidth="1"/>
    <col min="6" max="6" width="5.35156" style="1" customWidth="1"/>
    <col min="7" max="7" width="194.672" style="1" customWidth="1"/>
    <col min="8" max="16384" width="7.85156" style="1" customWidth="1"/>
  </cols>
  <sheetData>
    <row r="1" ht="23.25" customHeight="1">
      <c r="A1" t="s" s="2">
        <v>0</v>
      </c>
      <c r="B1" s="3"/>
      <c r="C1" s="3"/>
      <c r="D1" s="3"/>
      <c r="E1" s="3"/>
      <c r="F1" s="4"/>
      <c r="G1" t="s" s="5">
        <v>1</v>
      </c>
    </row>
    <row r="2" ht="17.25" customHeight="1">
      <c r="A2" t="s" s="6">
        <v>2</v>
      </c>
      <c r="B2" t="s" s="7">
        <v>3</v>
      </c>
      <c r="C2" t="s" s="7">
        <v>4</v>
      </c>
      <c r="D2" s="8"/>
      <c r="E2" s="8"/>
      <c r="F2" s="8"/>
      <c r="G2" t="s" s="9">
        <v>5</v>
      </c>
    </row>
    <row r="3" ht="12" customHeight="1">
      <c r="A3" s="10"/>
      <c r="B3" s="11"/>
      <c r="C3" s="11"/>
      <c r="D3" s="11"/>
      <c r="E3" s="11"/>
      <c r="F3" s="8"/>
      <c r="G3" s="12"/>
    </row>
    <row r="4" ht="19.5" customHeight="1">
      <c r="A4" t="s" s="13">
        <v>6</v>
      </c>
      <c r="B4" s="14"/>
      <c r="C4" s="14"/>
      <c r="D4" s="14"/>
      <c r="E4" s="15"/>
      <c r="F4" s="16"/>
      <c r="G4" t="s" s="17">
        <v>7</v>
      </c>
    </row>
    <row r="5" ht="15" customHeight="1">
      <c r="A5" t="s" s="18">
        <v>8</v>
      </c>
      <c r="B5" t="s" s="18">
        <v>9</v>
      </c>
      <c r="C5" t="s" s="18">
        <v>10</v>
      </c>
      <c r="D5" t="s" s="18">
        <v>11</v>
      </c>
      <c r="E5" t="s" s="18">
        <v>12</v>
      </c>
      <c r="F5" s="19"/>
      <c r="G5" t="s" s="17">
        <v>13</v>
      </c>
    </row>
    <row r="6" ht="15" customHeight="1">
      <c r="A6" t="s" s="20">
        <v>14</v>
      </c>
      <c r="B6" t="s" s="21">
        <v>15</v>
      </c>
      <c r="C6" t="s" s="22">
        <v>16</v>
      </c>
      <c r="D6" s="23">
        <v>0</v>
      </c>
      <c r="E6" s="23">
        <v>0</v>
      </c>
      <c r="F6" s="19"/>
      <c r="G6" t="s" s="17">
        <v>17</v>
      </c>
    </row>
    <row r="7" ht="15" customHeight="1">
      <c r="A7" t="s" s="20">
        <v>14</v>
      </c>
      <c r="B7" t="s" s="21">
        <v>18</v>
      </c>
      <c r="C7" t="s" s="22">
        <v>19</v>
      </c>
      <c r="D7" s="23">
        <v>0</v>
      </c>
      <c r="E7" s="23">
        <v>0</v>
      </c>
      <c r="F7" s="19"/>
      <c r="G7" t="s" s="17">
        <v>20</v>
      </c>
    </row>
    <row r="8" ht="15" customHeight="1">
      <c r="A8" t="s" s="20">
        <v>14</v>
      </c>
      <c r="B8" t="s" s="21">
        <v>21</v>
      </c>
      <c r="C8" t="s" s="24">
        <v>22</v>
      </c>
      <c r="D8" s="25">
        <v>32.5</v>
      </c>
      <c r="E8" s="25">
        <v>0</v>
      </c>
      <c r="F8" s="19"/>
      <c r="G8" t="s" s="17">
        <v>23</v>
      </c>
    </row>
    <row r="9" ht="15.75" customHeight="1">
      <c r="A9" s="26"/>
      <c r="B9" s="27"/>
      <c r="C9" t="s" s="28">
        <v>24</v>
      </c>
      <c r="D9" s="29">
        <f>SUM(D6:D8)</f>
        <v>32.5</v>
      </c>
      <c r="E9" s="30">
        <f>SUM(E6:E8)</f>
        <v>0</v>
      </c>
      <c r="F9" s="16"/>
      <c r="G9" t="s" s="17">
        <v>25</v>
      </c>
    </row>
    <row r="10" ht="15" customHeight="1">
      <c r="A10" s="31"/>
      <c r="B10" s="32"/>
      <c r="C10" s="33"/>
      <c r="D10" s="33"/>
      <c r="E10" s="33"/>
      <c r="F10" s="8"/>
      <c r="G10" t="s" s="17">
        <v>26</v>
      </c>
    </row>
    <row r="11" ht="15" customHeight="1">
      <c r="A11" t="s" s="18">
        <v>27</v>
      </c>
      <c r="B11" t="s" s="18">
        <v>9</v>
      </c>
      <c r="C11" t="s" s="18">
        <v>10</v>
      </c>
      <c r="D11" t="s" s="18">
        <v>11</v>
      </c>
      <c r="E11" t="s" s="18">
        <v>12</v>
      </c>
      <c r="F11" s="19"/>
      <c r="G11" s="12"/>
    </row>
    <row r="12" ht="17" customHeight="1">
      <c r="A12" t="s" s="20">
        <v>28</v>
      </c>
      <c r="B12" t="s" s="21">
        <v>15</v>
      </c>
      <c r="C12" t="s" s="22">
        <v>29</v>
      </c>
      <c r="D12" s="23">
        <v>0</v>
      </c>
      <c r="E12" s="23">
        <v>0</v>
      </c>
      <c r="F12" s="19"/>
      <c r="G12" t="s" s="17">
        <v>30</v>
      </c>
    </row>
    <row r="13" ht="17" customHeight="1">
      <c r="A13" t="s" s="20">
        <v>28</v>
      </c>
      <c r="B13" t="s" s="21">
        <v>18</v>
      </c>
      <c r="C13" t="s" s="22">
        <v>31</v>
      </c>
      <c r="D13" s="23">
        <v>0</v>
      </c>
      <c r="E13" s="23">
        <v>0</v>
      </c>
      <c r="F13" s="19"/>
      <c r="G13" t="s" s="34">
        <v>32</v>
      </c>
    </row>
    <row r="14" ht="17.5" customHeight="1">
      <c r="A14" t="s" s="20">
        <v>28</v>
      </c>
      <c r="B14" t="s" s="21">
        <v>21</v>
      </c>
      <c r="C14" t="s" s="22">
        <v>33</v>
      </c>
      <c r="D14" s="23">
        <v>32.5</v>
      </c>
      <c r="E14" s="25">
        <v>0</v>
      </c>
      <c r="F14" s="19"/>
      <c r="G14" t="s" s="34">
        <v>34</v>
      </c>
    </row>
    <row r="15" ht="15.75" customHeight="1">
      <c r="A15" s="26"/>
      <c r="B15" s="27"/>
      <c r="C15" t="s" s="35">
        <v>24</v>
      </c>
      <c r="D15" s="36">
        <f>SUM(D12:D14)</f>
        <v>32.5</v>
      </c>
      <c r="E15" s="30">
        <f>SUM(E12:E14)</f>
        <v>0</v>
      </c>
      <c r="F15" s="16"/>
      <c r="G15" t="s" s="34">
        <v>35</v>
      </c>
    </row>
    <row r="16" ht="15.85" customHeight="1">
      <c r="A16" s="31"/>
      <c r="B16" s="32"/>
      <c r="C16" s="33"/>
      <c r="D16" s="33"/>
      <c r="E16" s="33"/>
      <c r="F16" s="8"/>
      <c r="G16" s="12"/>
    </row>
    <row r="17" ht="15.35" customHeight="1">
      <c r="A17" t="s" s="18">
        <v>36</v>
      </c>
      <c r="B17" t="s" s="18">
        <v>9</v>
      </c>
      <c r="C17" t="s" s="18">
        <v>10</v>
      </c>
      <c r="D17" t="s" s="18">
        <v>11</v>
      </c>
      <c r="E17" t="s" s="18">
        <v>12</v>
      </c>
      <c r="F17" s="19"/>
      <c r="G17" s="12"/>
    </row>
    <row r="18" ht="17" customHeight="1">
      <c r="A18" t="s" s="20">
        <v>37</v>
      </c>
      <c r="B18" t="s" s="21">
        <v>15</v>
      </c>
      <c r="C18" t="s" s="22">
        <v>29</v>
      </c>
      <c r="D18" s="23">
        <v>0</v>
      </c>
      <c r="E18" s="23">
        <v>0</v>
      </c>
      <c r="F18" s="19"/>
      <c r="G18" s="12"/>
    </row>
    <row r="19" ht="17" customHeight="1">
      <c r="A19" t="s" s="20">
        <v>37</v>
      </c>
      <c r="B19" t="s" s="21">
        <v>18</v>
      </c>
      <c r="C19" t="s" s="22">
        <v>31</v>
      </c>
      <c r="D19" s="23">
        <v>0</v>
      </c>
      <c r="E19" s="23">
        <v>0</v>
      </c>
      <c r="F19" s="19"/>
      <c r="G19" s="12"/>
    </row>
    <row r="20" ht="17.5" customHeight="1">
      <c r="A20" t="s" s="20">
        <v>37</v>
      </c>
      <c r="B20" t="s" s="21">
        <v>21</v>
      </c>
      <c r="C20" t="s" s="22">
        <v>33</v>
      </c>
      <c r="D20" s="23">
        <v>32.5</v>
      </c>
      <c r="E20" s="25">
        <v>0</v>
      </c>
      <c r="F20" s="19"/>
      <c r="G20" s="12"/>
    </row>
    <row r="21" ht="16.35" customHeight="1">
      <c r="A21" s="26"/>
      <c r="B21" s="27"/>
      <c r="C21" t="s" s="35">
        <v>24</v>
      </c>
      <c r="D21" s="36">
        <f>SUM(D18:D20)</f>
        <v>32.5</v>
      </c>
      <c r="E21" s="30">
        <f>SUM(E18:E20)</f>
        <v>0</v>
      </c>
      <c r="F21" s="16"/>
      <c r="G21" s="12"/>
    </row>
    <row r="22" ht="15.85" customHeight="1">
      <c r="A22" s="31"/>
      <c r="B22" s="32"/>
      <c r="C22" s="33"/>
      <c r="D22" s="33"/>
      <c r="E22" s="33"/>
      <c r="F22" s="8"/>
      <c r="G22" s="12"/>
    </row>
    <row r="23" ht="15" customHeight="1">
      <c r="A23" t="s" s="18">
        <v>38</v>
      </c>
      <c r="B23" t="s" s="18">
        <v>9</v>
      </c>
      <c r="C23" t="s" s="18">
        <v>10</v>
      </c>
      <c r="D23" t="s" s="18">
        <v>11</v>
      </c>
      <c r="E23" t="s" s="18">
        <v>12</v>
      </c>
      <c r="F23" s="19"/>
      <c r="G23" t="s" s="17">
        <v>39</v>
      </c>
    </row>
    <row r="24" ht="15.35" customHeight="1">
      <c r="A24" t="s" s="20">
        <v>37</v>
      </c>
      <c r="B24" t="s" s="21">
        <v>40</v>
      </c>
      <c r="C24" t="s" s="22">
        <v>41</v>
      </c>
      <c r="D24" s="23">
        <v>200</v>
      </c>
      <c r="E24" s="23">
        <v>0</v>
      </c>
      <c r="F24" s="19"/>
      <c r="G24" s="12"/>
    </row>
    <row r="25" ht="15.35" customHeight="1">
      <c r="A25" t="s" s="20">
        <v>42</v>
      </c>
      <c r="B25" t="s" s="21">
        <v>43</v>
      </c>
      <c r="C25" s="37"/>
      <c r="D25" s="23">
        <v>0</v>
      </c>
      <c r="E25" s="23">
        <v>0</v>
      </c>
      <c r="F25" s="19"/>
      <c r="G25" s="12"/>
    </row>
    <row r="26" ht="15.35" customHeight="1">
      <c r="A26" t="s" s="20">
        <v>42</v>
      </c>
      <c r="B26" t="s" s="21">
        <v>44</v>
      </c>
      <c r="C26" s="37"/>
      <c r="D26" s="23">
        <v>0</v>
      </c>
      <c r="E26" s="23">
        <v>0</v>
      </c>
      <c r="F26" s="19"/>
      <c r="G26" s="12"/>
    </row>
    <row r="27" ht="15" customHeight="1">
      <c r="A27" t="s" s="20">
        <v>42</v>
      </c>
      <c r="B27" t="s" s="21">
        <v>45</v>
      </c>
      <c r="C27" s="38"/>
      <c r="D27" s="25">
        <v>0</v>
      </c>
      <c r="E27" s="25">
        <v>0</v>
      </c>
      <c r="F27" s="19"/>
      <c r="G27" s="12"/>
    </row>
    <row r="28" ht="15.75" customHeight="1">
      <c r="A28" s="26"/>
      <c r="B28" s="27"/>
      <c r="C28" t="s" s="28">
        <v>46</v>
      </c>
      <c r="D28" s="29">
        <f>SUM(D24:D27)</f>
        <v>200</v>
      </c>
      <c r="E28" s="30">
        <f>SUM(E24:E27)</f>
        <v>0</v>
      </c>
      <c r="F28" s="16"/>
      <c r="G28" t="s" s="17">
        <v>47</v>
      </c>
    </row>
    <row r="29" ht="13.5" customHeight="1">
      <c r="A29" s="39"/>
      <c r="B29" s="8"/>
      <c r="C29" s="40"/>
      <c r="D29" s="40"/>
      <c r="E29" s="40"/>
      <c r="F29" s="8"/>
      <c r="G29" s="12"/>
    </row>
    <row r="30" ht="15.75" customHeight="1">
      <c r="A30" s="39"/>
      <c r="B30" s="41"/>
      <c r="C30" t="s" s="42">
        <v>48</v>
      </c>
      <c r="D30" s="43">
        <f>SUM(D28,D15,D9)+D21</f>
        <v>297.5</v>
      </c>
      <c r="E30" s="44">
        <f>SUM(E28,E15,E9)</f>
        <v>0</v>
      </c>
      <c r="F30" s="16"/>
      <c r="G30" t="s" s="17">
        <v>49</v>
      </c>
    </row>
    <row r="31" ht="15.85" customHeight="1">
      <c r="A31" s="39"/>
      <c r="B31" s="8"/>
      <c r="C31" s="45"/>
      <c r="D31" s="45"/>
      <c r="E31" s="45"/>
      <c r="F31" s="8"/>
      <c r="G31" s="12"/>
    </row>
    <row r="32" ht="15" customHeight="1">
      <c r="A32" s="10"/>
      <c r="B32" s="11"/>
      <c r="C32" s="11"/>
      <c r="D32" s="11"/>
      <c r="E32" s="11"/>
      <c r="F32" s="8"/>
      <c r="G32" s="12"/>
    </row>
    <row r="33" ht="20.25" customHeight="1">
      <c r="A33" t="s" s="46">
        <v>50</v>
      </c>
      <c r="B33" s="47"/>
      <c r="C33" s="47"/>
      <c r="D33" s="47"/>
      <c r="E33" s="48"/>
      <c r="F33" s="16"/>
      <c r="G33" t="s" s="17">
        <v>51</v>
      </c>
    </row>
    <row r="34" ht="15" customHeight="1">
      <c r="A34" s="49"/>
      <c r="B34" t="s" s="50">
        <v>52</v>
      </c>
      <c r="C34" t="s" s="50">
        <v>10</v>
      </c>
      <c r="D34" t="s" s="50">
        <v>53</v>
      </c>
      <c r="E34" t="s" s="50">
        <v>54</v>
      </c>
      <c r="F34" s="19"/>
      <c r="G34" t="s" s="17">
        <v>55</v>
      </c>
    </row>
    <row r="35" ht="15.35" customHeight="1">
      <c r="A35" t="s" s="20">
        <v>42</v>
      </c>
      <c r="B35" t="s" s="21">
        <v>56</v>
      </c>
      <c r="C35" s="37"/>
      <c r="D35" s="23">
        <v>0</v>
      </c>
      <c r="E35" s="23">
        <v>0</v>
      </c>
      <c r="F35" s="19"/>
      <c r="G35" s="12"/>
    </row>
    <row r="36" ht="15" customHeight="1">
      <c r="A36" t="s" s="20">
        <v>42</v>
      </c>
      <c r="B36" t="s" s="21">
        <v>57</v>
      </c>
      <c r="C36" s="37"/>
      <c r="D36" s="23">
        <v>0</v>
      </c>
      <c r="E36" s="23">
        <v>0</v>
      </c>
      <c r="F36" s="19"/>
      <c r="G36" t="s" s="17">
        <v>58</v>
      </c>
    </row>
    <row r="37" ht="15" customHeight="1">
      <c r="A37" t="s" s="20">
        <v>42</v>
      </c>
      <c r="B37" t="s" s="21">
        <v>59</v>
      </c>
      <c r="C37" s="37"/>
      <c r="D37" s="23">
        <v>0</v>
      </c>
      <c r="E37" s="23">
        <v>0</v>
      </c>
      <c r="F37" s="19"/>
      <c r="G37" s="51"/>
    </row>
    <row r="38" ht="15" customHeight="1">
      <c r="A38" t="s" s="20">
        <v>42</v>
      </c>
      <c r="B38" t="s" s="21">
        <v>60</v>
      </c>
      <c r="C38" s="37"/>
      <c r="D38" s="23">
        <v>0</v>
      </c>
      <c r="E38" s="23">
        <v>0</v>
      </c>
      <c r="F38" s="19"/>
      <c r="G38" s="51"/>
    </row>
    <row r="39" ht="15" customHeight="1">
      <c r="A39" t="s" s="20">
        <v>42</v>
      </c>
      <c r="B39" t="s" s="21">
        <v>61</v>
      </c>
      <c r="C39" s="52"/>
      <c r="D39" s="25">
        <v>0</v>
      </c>
      <c r="E39" s="25">
        <v>0</v>
      </c>
      <c r="F39" s="19"/>
      <c r="G39" s="12"/>
    </row>
    <row r="40" ht="15.75" customHeight="1">
      <c r="A40" s="26"/>
      <c r="B40" s="27"/>
      <c r="C40" t="s" s="53">
        <v>62</v>
      </c>
      <c r="D40" s="54">
        <f>SUM(D35:D39)</f>
        <v>0</v>
      </c>
      <c r="E40" s="55">
        <f>SUM(E35:E39)</f>
        <v>0</v>
      </c>
      <c r="F40" s="16"/>
      <c r="G40" t="s" s="17">
        <v>63</v>
      </c>
    </row>
    <row r="41" ht="15.85" customHeight="1">
      <c r="A41" s="39"/>
      <c r="B41" s="8"/>
      <c r="C41" s="45"/>
      <c r="D41" s="33"/>
      <c r="E41" s="33"/>
      <c r="F41" s="8"/>
      <c r="G41" s="12"/>
    </row>
    <row r="42" ht="15.75" customHeight="1">
      <c r="A42" s="39"/>
      <c r="B42" s="8"/>
      <c r="C42" s="56"/>
      <c r="D42" t="s" s="57">
        <v>64</v>
      </c>
      <c r="E42" t="s" s="57">
        <v>65</v>
      </c>
      <c r="F42" s="19"/>
      <c r="G42" s="12"/>
    </row>
    <row r="43" ht="15.75" customHeight="1">
      <c r="A43" s="39"/>
      <c r="B43" s="41"/>
      <c r="C43" t="s" s="58">
        <v>66</v>
      </c>
      <c r="D43" s="29">
        <f>SUM(D30-D40)</f>
        <v>297.5</v>
      </c>
      <c r="E43" s="30">
        <f>SUM(E30-E40)</f>
        <v>0</v>
      </c>
      <c r="F43" s="16"/>
      <c r="G43" s="51"/>
    </row>
    <row r="44" ht="15" customHeight="1">
      <c r="A44" s="39"/>
      <c r="B44" s="8"/>
      <c r="C44" s="40"/>
      <c r="D44" s="40"/>
      <c r="E44" s="45"/>
      <c r="F44" s="8"/>
      <c r="G44" s="12"/>
    </row>
    <row r="45" ht="15" customHeight="1">
      <c r="A45" s="39"/>
      <c r="B45" s="41"/>
      <c r="C45" t="s" s="59">
        <v>67</v>
      </c>
      <c r="D45" s="60">
        <v>0</v>
      </c>
      <c r="E45" s="16"/>
      <c r="F45" s="8"/>
      <c r="G45" t="s" s="34">
        <v>68</v>
      </c>
    </row>
    <row r="46" ht="15" customHeight="1">
      <c r="A46" s="39"/>
      <c r="B46" s="41"/>
      <c r="C46" t="s" s="61">
        <v>69</v>
      </c>
      <c r="D46" s="62">
        <v>0</v>
      </c>
      <c r="E46" s="16"/>
      <c r="F46" s="8"/>
      <c r="G46" t="s" s="34">
        <v>70</v>
      </c>
    </row>
    <row r="47" ht="15.75" customHeight="1">
      <c r="A47" s="39"/>
      <c r="B47" s="41"/>
      <c r="C47" t="s" s="63">
        <v>71</v>
      </c>
      <c r="D47" s="64">
        <f>D45-D46</f>
        <v>0</v>
      </c>
      <c r="E47" s="16"/>
      <c r="F47" s="8"/>
      <c r="G47" s="12"/>
    </row>
    <row r="48" ht="15.85" customHeight="1">
      <c r="A48" s="39"/>
      <c r="B48" s="8"/>
      <c r="C48" s="45"/>
      <c r="D48" s="45"/>
      <c r="E48" s="8"/>
      <c r="F48" s="8"/>
      <c r="G48" s="12"/>
    </row>
    <row r="49" ht="15" customHeight="1">
      <c r="A49" s="39"/>
      <c r="B49" s="8"/>
      <c r="C49" s="11"/>
      <c r="D49" s="11"/>
      <c r="E49" s="8"/>
      <c r="F49" s="8"/>
      <c r="G49" s="12"/>
    </row>
    <row r="50" ht="20.25" customHeight="1">
      <c r="A50" s="39"/>
      <c r="B50" s="41"/>
      <c r="C50" t="s" s="65">
        <v>72</v>
      </c>
      <c r="D50" s="66">
        <f>SUM(D40,D47)</f>
        <v>0</v>
      </c>
      <c r="E50" s="16"/>
      <c r="F50" s="8"/>
      <c r="G50" t="s" s="34">
        <v>73</v>
      </c>
    </row>
    <row r="51" ht="15" customHeight="1">
      <c r="A51" s="67"/>
      <c r="B51" s="8"/>
      <c r="C51" s="68"/>
      <c r="D51" s="45"/>
      <c r="E51" s="8"/>
      <c r="F51" s="8"/>
      <c r="G51" s="12"/>
    </row>
    <row r="52" ht="15.35" customHeight="1">
      <c r="A52" s="39"/>
      <c r="B52" s="8"/>
      <c r="C52" s="4"/>
      <c r="D52" s="8"/>
      <c r="E52" s="8"/>
      <c r="F52" s="8"/>
      <c r="G52" s="12"/>
    </row>
    <row r="53" ht="15.35" customHeight="1">
      <c r="A53" s="39"/>
      <c r="B53" s="8"/>
      <c r="C53" s="8"/>
      <c r="D53" s="8"/>
      <c r="E53" s="8"/>
      <c r="F53" s="8"/>
      <c r="G53" s="12"/>
    </row>
    <row r="54" ht="15.35" customHeight="1">
      <c r="A54" s="39"/>
      <c r="B54" s="8"/>
      <c r="C54" s="8"/>
      <c r="D54" s="8"/>
      <c r="E54" s="8"/>
      <c r="F54" s="8"/>
      <c r="G54" s="12"/>
    </row>
    <row r="55" ht="15.35" customHeight="1">
      <c r="A55" s="39"/>
      <c r="B55" s="8"/>
      <c r="C55" s="8"/>
      <c r="D55" s="8"/>
      <c r="E55" s="8"/>
      <c r="F55" s="8"/>
      <c r="G55" s="12"/>
    </row>
    <row r="56" ht="15.35" customHeight="1">
      <c r="A56" s="39"/>
      <c r="B56" s="8"/>
      <c r="C56" s="8"/>
      <c r="D56" s="8"/>
      <c r="E56" s="8"/>
      <c r="F56" s="8"/>
      <c r="G56" s="12"/>
    </row>
    <row r="57" ht="15.35" customHeight="1">
      <c r="A57" s="39"/>
      <c r="B57" s="8"/>
      <c r="C57" s="8"/>
      <c r="D57" s="8"/>
      <c r="E57" s="8"/>
      <c r="F57" s="8"/>
      <c r="G57" s="12"/>
    </row>
    <row r="58" ht="15.35" customHeight="1">
      <c r="A58" s="39"/>
      <c r="B58" s="8"/>
      <c r="C58" s="8"/>
      <c r="D58" s="8"/>
      <c r="E58" s="8"/>
      <c r="F58" s="8"/>
      <c r="G58" s="12"/>
    </row>
    <row r="59" ht="15.35" customHeight="1">
      <c r="A59" s="39"/>
      <c r="B59" s="8"/>
      <c r="C59" s="8"/>
      <c r="D59" s="8"/>
      <c r="E59" s="8"/>
      <c r="F59" s="8"/>
      <c r="G59" s="12"/>
    </row>
    <row r="60" ht="15.35" customHeight="1">
      <c r="A60" s="39"/>
      <c r="B60" s="8"/>
      <c r="C60" s="8"/>
      <c r="D60" s="8"/>
      <c r="E60" s="8"/>
      <c r="F60" s="8"/>
      <c r="G60" s="12"/>
    </row>
    <row r="61" ht="15.35" customHeight="1">
      <c r="A61" s="39"/>
      <c r="B61" s="8"/>
      <c r="C61" s="8"/>
      <c r="D61" s="8"/>
      <c r="E61" s="8"/>
      <c r="F61" s="8"/>
      <c r="G61" s="12"/>
    </row>
    <row r="62" ht="15.35" customHeight="1">
      <c r="A62" s="39"/>
      <c r="B62" s="8"/>
      <c r="C62" s="8"/>
      <c r="D62" s="8"/>
      <c r="E62" s="8"/>
      <c r="F62" s="8"/>
      <c r="G62" s="12"/>
    </row>
    <row r="63" ht="15.35" customHeight="1">
      <c r="A63" s="39"/>
      <c r="B63" s="8"/>
      <c r="C63" s="8"/>
      <c r="D63" s="8"/>
      <c r="E63" s="8"/>
      <c r="F63" s="8"/>
      <c r="G63" s="12"/>
    </row>
    <row r="64" ht="15.35" customHeight="1">
      <c r="A64" s="39"/>
      <c r="B64" s="8"/>
      <c r="C64" s="8"/>
      <c r="D64" s="8"/>
      <c r="E64" s="8"/>
      <c r="F64" s="8"/>
      <c r="G64" s="12"/>
    </row>
    <row r="65" ht="15.35" customHeight="1">
      <c r="A65" s="39"/>
      <c r="B65" s="8"/>
      <c r="C65" s="8"/>
      <c r="D65" s="8"/>
      <c r="E65" s="8"/>
      <c r="F65" s="8"/>
      <c r="G65" s="12"/>
    </row>
    <row r="66" ht="15.35" customHeight="1">
      <c r="A66" s="39"/>
      <c r="B66" s="8"/>
      <c r="C66" s="8"/>
      <c r="D66" s="8"/>
      <c r="E66" s="8"/>
      <c r="F66" s="8"/>
      <c r="G66" s="12"/>
    </row>
    <row r="67" ht="15.35" customHeight="1">
      <c r="A67" s="69"/>
      <c r="B67" s="70"/>
      <c r="C67" s="70"/>
      <c r="D67" s="70"/>
      <c r="E67" s="70"/>
      <c r="F67" s="70"/>
      <c r="G67" s="12"/>
    </row>
  </sheetData>
  <mergeCells count="1">
    <mergeCell ref="A1:E1"/>
  </mergeCells>
  <hyperlinks>
    <hyperlink ref="C12" r:id="rId1" location="" tooltip="" display="Large multipurpose event facility featuring multiple HD projectors, integrated house sound system, enhanced lighting features Capacity: 646 - 900, $85.5 hourly https://ucservices.uoguelph.ca/system/files/UC%20Facility%20Services%20Guide%20-%202024.pdf"/>
    <hyperlink ref="C18" r:id="rId2" location="" tooltip="" display="Large multipurpose event facility featuring multiple HD projectors, integrated house sound system, enhanced lighting features Capacity: 646 - 900, $85.5 hourly https://ucservices.uoguelph.ca/system/files/UC%20Facility%20Services%20Guide%20-%202024.pdf"/>
  </hyperlink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